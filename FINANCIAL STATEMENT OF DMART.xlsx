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ponn\Documents\"/>
    </mc:Choice>
  </mc:AlternateContent>
  <xr:revisionPtr revIDLastSave="0" documentId="8_{ACA8CC0A-44AE-4A20-8907-7150031C9C2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come Statement" sheetId="1" r:id="rId1"/>
    <sheet name="P&amp;L Assumptions" sheetId="2" r:id="rId2"/>
    <sheet name=" Revenue Chart" sheetId="5" r:id="rId3"/>
    <sheet name="PBT Chart" sheetId="6" r:id="rId4"/>
    <sheet name="Revenue vs PAT" sheetId="8" r:id="rId5"/>
    <sheet name="Expense Table" sheetId="10" r:id="rId6"/>
    <sheet name="Expense chart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2" l="1"/>
  <c r="E51" i="2"/>
  <c r="C51" i="2"/>
  <c r="E21" i="2"/>
  <c r="F4" i="10"/>
  <c r="F3" i="10"/>
  <c r="F2" i="10"/>
  <c r="E4" i="10"/>
  <c r="E3" i="10"/>
  <c r="E2" i="10"/>
  <c r="D4" i="10"/>
  <c r="D3" i="10"/>
  <c r="D2" i="10"/>
  <c r="C4" i="10"/>
  <c r="C3" i="10"/>
  <c r="C2" i="10"/>
  <c r="B4" i="10"/>
  <c r="B3" i="10"/>
  <c r="B2" i="10"/>
  <c r="F45" i="2"/>
  <c r="I45" i="2"/>
  <c r="I39" i="2"/>
  <c r="I33" i="2"/>
  <c r="I27" i="2"/>
  <c r="I21" i="2"/>
  <c r="I15" i="2"/>
  <c r="I9" i="2"/>
  <c r="H45" i="2"/>
  <c r="H39" i="2"/>
  <c r="H33" i="2"/>
  <c r="H27" i="2"/>
  <c r="H21" i="2"/>
  <c r="H15" i="2"/>
  <c r="H9" i="2"/>
  <c r="G45" i="2"/>
  <c r="G39" i="2"/>
  <c r="G33" i="2"/>
  <c r="G27" i="2"/>
  <c r="G21" i="2"/>
  <c r="G15" i="2"/>
  <c r="G9" i="2"/>
  <c r="F27" i="2"/>
  <c r="F39" i="2"/>
  <c r="F9" i="2"/>
  <c r="F8" i="2" s="1"/>
  <c r="D9" i="2"/>
  <c r="C33" i="2"/>
  <c r="F33" i="2"/>
  <c r="E45" i="2"/>
  <c r="D45" i="2"/>
  <c r="C45" i="2"/>
  <c r="E39" i="2"/>
  <c r="D39" i="2"/>
  <c r="C39" i="2"/>
  <c r="E33" i="2"/>
  <c r="D33" i="2"/>
  <c r="E27" i="2"/>
  <c r="D27" i="2"/>
  <c r="C27" i="2"/>
  <c r="C21" i="2"/>
  <c r="F21" i="2"/>
  <c r="D21" i="2"/>
  <c r="F15" i="2"/>
  <c r="F14" i="2" s="1"/>
  <c r="G14" i="2" s="1"/>
  <c r="H14" i="2" s="1"/>
  <c r="I14" i="2" s="1"/>
  <c r="E9" i="2"/>
  <c r="G8" i="2" l="1"/>
  <c r="F38" i="2"/>
  <c r="E5" i="10" s="1"/>
  <c r="F20" i="2"/>
  <c r="B5" i="10" s="1"/>
  <c r="F26" i="2"/>
  <c r="C5" i="10" s="1"/>
  <c r="F32" i="2"/>
  <c r="D5" i="10" s="1"/>
  <c r="F44" i="2"/>
  <c r="G20" i="2" l="1"/>
  <c r="B6" i="10" s="1"/>
  <c r="H8" i="2"/>
  <c r="G38" i="2"/>
  <c r="E6" i="10" s="1"/>
  <c r="G26" i="2"/>
  <c r="C6" i="10" s="1"/>
  <c r="F50" i="2"/>
  <c r="F5" i="10"/>
  <c r="G32" i="2"/>
  <c r="D6" i="10" s="1"/>
  <c r="G44" i="2"/>
  <c r="H32" i="2" l="1"/>
  <c r="D7" i="10" s="1"/>
  <c r="H44" i="2"/>
  <c r="F7" i="10" s="1"/>
  <c r="I8" i="2"/>
  <c r="H20" i="2"/>
  <c r="H38" i="2"/>
  <c r="E7" i="10" s="1"/>
  <c r="H26" i="2"/>
  <c r="C7" i="10"/>
  <c r="F51" i="2"/>
  <c r="F55" i="2"/>
  <c r="F58" i="2" s="1"/>
  <c r="F6" i="10"/>
  <c r="G50" i="2"/>
  <c r="G51" i="2" s="1"/>
  <c r="I32" i="2" l="1"/>
  <c r="D8" i="10" s="1"/>
  <c r="I26" i="2"/>
  <c r="C8" i="10" s="1"/>
  <c r="I44" i="2"/>
  <c r="F8" i="10" s="1"/>
  <c r="I38" i="2"/>
  <c r="E8" i="10" s="1"/>
  <c r="I20" i="2"/>
  <c r="B8" i="10" s="1"/>
  <c r="B7" i="10"/>
  <c r="H50" i="2"/>
  <c r="H51" i="2"/>
  <c r="H55" i="2"/>
  <c r="H58" i="2" s="1"/>
  <c r="I50" i="2"/>
  <c r="G55" i="2"/>
  <c r="G58" i="2" s="1"/>
  <c r="I51" i="2" l="1"/>
  <c r="I55" i="2"/>
  <c r="I58" i="2" s="1"/>
</calcChain>
</file>

<file path=xl/sharedStrings.xml><?xml version="1.0" encoding="utf-8"?>
<sst xmlns="http://schemas.openxmlformats.org/spreadsheetml/2006/main" count="96" uniqueCount="66">
  <si>
    <t>Particulars</t>
  </si>
  <si>
    <t>FY25 (Year ended 31-Mar-2025)</t>
  </si>
  <si>
    <t>FY24 (Year ended 31-Mar-2024)</t>
  </si>
  <si>
    <t>Revenue from operations</t>
  </si>
  <si>
    <t>Other income</t>
  </si>
  <si>
    <t>Total income</t>
  </si>
  <si>
    <t>Purchases of stock-in-trade</t>
  </si>
  <si>
    <t>Change in inventories of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</si>
  <si>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</si>
  <si>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</si>
  <si>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</si>
  <si>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</si>
  <si>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</si>
  <si>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Profit before tax</t>
  </si>
  <si>
    <t>Current tax</t>
  </si>
  <si>
    <t>Deferred tax charge</t>
  </si>
  <si>
    <t>Tax in respect of earlier period/year</t>
  </si>
  <si>
    <t>Net profit after tax</t>
  </si>
  <si>
    <t>Other comprehensive profit/(loss) (net of tax)</t>
  </si>
  <si>
    <t>Total comprehensive income</t>
  </si>
  <si>
    <t>Paid-up equity share capital</t>
  </si>
  <si>
    <t>Other equity (excluding revaluation reserves)</t>
  </si>
  <si>
    <t>EPS Basic (₹)</t>
  </si>
  <si>
    <t>EPS Diluted (₹)</t>
  </si>
  <si>
    <t>FY23(Year ended 31-Mar-2023 )</t>
  </si>
  <si>
    <t>Scenarios</t>
  </si>
  <si>
    <t>Case 1</t>
  </si>
  <si>
    <t>Case 2</t>
  </si>
  <si>
    <t>Case 3</t>
  </si>
  <si>
    <t>Optimistic case</t>
  </si>
  <si>
    <t>Base case</t>
  </si>
  <si>
    <t>selected scenario</t>
  </si>
  <si>
    <t>Revenues</t>
  </si>
  <si>
    <t>y-o-y growth%</t>
  </si>
  <si>
    <t>Other Income</t>
  </si>
  <si>
    <t>% of revenues</t>
  </si>
  <si>
    <t>revenue from operaton</t>
  </si>
  <si>
    <t>other income</t>
  </si>
  <si>
    <t>total income</t>
  </si>
  <si>
    <t>cogs</t>
  </si>
  <si>
    <t>D &amp; A</t>
  </si>
  <si>
    <t>FY23</t>
  </si>
  <si>
    <t>FY25</t>
  </si>
  <si>
    <t>FY24</t>
  </si>
  <si>
    <t>FY26 FORECAST</t>
  </si>
  <si>
    <t>Profit Before Tax</t>
  </si>
  <si>
    <t>FY28 FORECAST</t>
  </si>
  <si>
    <t>FY27 FORECAST</t>
  </si>
  <si>
    <t>FY29 FORECAST</t>
  </si>
  <si>
    <t>Profit After Tax</t>
  </si>
  <si>
    <t>Year</t>
  </si>
  <si>
    <t>COGS</t>
  </si>
  <si>
    <t>Employee Expense</t>
  </si>
  <si>
    <t>Finance Cost</t>
  </si>
  <si>
    <t>Depreciation</t>
  </si>
  <si>
    <t>Other Expenses</t>
  </si>
  <si>
    <t>FY26 Forecast</t>
  </si>
  <si>
    <t>FY27 Forecast</t>
  </si>
  <si>
    <t>FY28 Forecast</t>
  </si>
  <si>
    <t>FY29 Forecast</t>
  </si>
  <si>
    <t>Worst cae</t>
  </si>
  <si>
    <t>Tax rate</t>
  </si>
  <si>
    <t>Tax expenses</t>
  </si>
  <si>
    <t>Cost of Goods Sold</t>
  </si>
  <si>
    <t>Empolyee expenses</t>
  </si>
  <si>
    <t>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</si>
</sst>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5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9" fontId="0" fillId="0" borderId="0" xfId="1" applyFont="1"/>
    <xf numFmtId="9" fontId="0" fillId="0" borderId="0" xfId="0" applyNumberFormat="1"/>
    <xf numFmtId="0" fontId="0" fillId="2" borderId="0" xfId="0" applyFill="1"/>
    <xf numFmtId="0" fontId="5" fillId="3" borderId="0" xfId="0" applyFont="1" applyFill="1"/>
    <xf numFmtId="0" fontId="5" fillId="4" borderId="0" xfId="0" applyFont="1" applyFill="1"/>
    <xf numFmtId="0" fontId="6" fillId="4" borderId="0" xfId="0" applyFont="1" applyFill="1"/>
    <xf numFmtId="0" fontId="5" fillId="0" borderId="0" xfId="0" applyFont="1"/>
    <xf numFmtId="0" fontId="6" fillId="0" borderId="0" xfId="0" applyFont="1"/>
    <xf numFmtId="10" fontId="0" fillId="0" borderId="0" xfId="0" applyNumberFormat="1"/>
    <xf numFmtId="0" fontId="5" fillId="5" borderId="0" xfId="2"/>
  </cellXfs>
  <cellStyles count="3">
    <cellStyle name="Accent1" xfId="2" builtinId="2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calcChain" Target="calcChain.xml"/><Relationship Id="rId5" Type="http://schemas.openxmlformats.org/officeDocument/2006/relationships/chartsheet" Target="chart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Revenue</c:v>
          </c:tx>
          <c:spPr>
            <a:ln w="31750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C8A6802-8FAB-47C5-AF98-03376BAB6AAE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9B5-4832-86F5-29E6A5D937F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EFB385-65DB-49A4-AFA5-9184FA0C3002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9B5-4832-86F5-29E6A5D937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BF3897-D7E2-44EC-A5A2-A34FF0C25EC5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9B5-4832-86F5-29E6A5D937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3443C5-BA6B-4592-887E-9CE47C51CDDA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9B5-4832-86F5-29E6A5D937F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58C81EF-524E-49B9-A08F-3B3414EA6CEC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9B5-4832-86F5-29E6A5D937F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98E5D1-E23A-47B0-A50D-BDBCC5859168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B9B5-4832-86F5-29E6A5D937F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2E0DCCA-0041-4E05-A920-5CAE7E66F23C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B9B5-4832-86F5-29E6A5D937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'P&amp;L Assumptions'!$C$6:$I$6</c:f>
              <c:strCache>
                <c:ptCount val="7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 FORECAST</c:v>
                </c:pt>
                <c:pt idx="4">
                  <c:v>FY27 FORECAST</c:v>
                </c:pt>
                <c:pt idx="5">
                  <c:v>FY28 FORECAST</c:v>
                </c:pt>
                <c:pt idx="6">
                  <c:v>FY29 FORECAST</c:v>
                </c:pt>
              </c:strCache>
            </c:strRef>
          </c:cat>
          <c:val>
            <c:numRef>
              <c:f>'P&amp;L Assumptions'!$C$8:$I$8</c:f>
              <c:numCache>
                <c:formatCode>General</c:formatCode>
                <c:ptCount val="7"/>
                <c:pt idx="0">
                  <c:v>41833.25</c:v>
                </c:pt>
                <c:pt idx="1">
                  <c:v>49532.95</c:v>
                </c:pt>
                <c:pt idx="2">
                  <c:v>57789.81</c:v>
                </c:pt>
                <c:pt idx="3">
                  <c:v>68769.873899999991</c:v>
                </c:pt>
                <c:pt idx="4">
                  <c:v>81148.451201999982</c:v>
                </c:pt>
                <c:pt idx="5">
                  <c:v>94943.687906339968</c:v>
                </c:pt>
                <c:pt idx="6">
                  <c:v>110134.67797135435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5-4832-86F5-29E6A5D937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8576592"/>
        <c:axId val="2108578032"/>
      </c:lineChart>
      <c:catAx>
        <c:axId val="210857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578032"/>
        <c:crosses val="autoZero"/>
        <c:auto val="1"/>
        <c:lblAlgn val="ctr"/>
        <c:lblOffset val="100"/>
        <c:noMultiLvlLbl val="0"/>
      </c:catAx>
      <c:valAx>
        <c:axId val="2108578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857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BEFORE TAX(PBT)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2.3487289122980926E-2"/>
          <c:y val="9.510995588564225E-2"/>
          <c:w val="0.96770497745590123"/>
          <c:h val="0.86429163462898173"/>
        </c:manualLayout>
      </c:layout>
      <c:lineChart>
        <c:grouping val="stacked"/>
        <c:varyColors val="0"/>
        <c:ser>
          <c:idx val="0"/>
          <c:order val="0"/>
          <c:tx>
            <c:v>PBT</c:v>
          </c:tx>
          <c:spPr>
            <a:ln w="317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'P&amp;L Assumptions'!$C$6:$I$6</c:f>
              <c:strCache>
                <c:ptCount val="7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 FORECAST</c:v>
                </c:pt>
                <c:pt idx="4">
                  <c:v>FY27 FORECAST</c:v>
                </c:pt>
                <c:pt idx="5">
                  <c:v>FY28 FORECAST</c:v>
                </c:pt>
                <c:pt idx="6">
                  <c:v>FY29 FORECAST</c:v>
                </c:pt>
              </c:strCache>
            </c:strRef>
          </c:cat>
          <c:val>
            <c:numRef>
              <c:f>'P&amp;L Assumptions'!$C$50:$I$50</c:f>
              <c:numCache>
                <c:formatCode>General</c:formatCode>
                <c:ptCount val="7"/>
                <c:pt idx="0">
                  <c:v>3231.16</c:v>
                </c:pt>
                <c:pt idx="1">
                  <c:v>3611.38</c:v>
                </c:pt>
                <c:pt idx="2">
                  <c:v>3883.17</c:v>
                </c:pt>
                <c:pt idx="3">
                  <c:v>4864.1253999800101</c:v>
                </c:pt>
                <c:pt idx="4">
                  <c:v>5708.3443719764018</c:v>
                </c:pt>
                <c:pt idx="5">
                  <c:v>6649.1795152123877</c:v>
                </c:pt>
                <c:pt idx="6">
                  <c:v>7685.205037646374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D-47EB-BC61-AF0E8CF0D5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650224"/>
        <c:axId val="70650704"/>
      </c:lineChart>
      <c:catAx>
        <c:axId val="7065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0704"/>
        <c:crosses val="autoZero"/>
        <c:auto val="1"/>
        <c:lblAlgn val="ctr"/>
        <c:lblOffset val="100"/>
        <c:noMultiLvlLbl val="0"/>
      </c:catAx>
      <c:valAx>
        <c:axId val="70650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650224"/>
        <c:crosses val="autoZero"/>
        <c:crossBetween val="between"/>
      </c:valAx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VS PAT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961133159983577E-2"/>
          <c:y val="6.6814814555011898E-2"/>
          <c:w val="0.88946548848013196"/>
          <c:h val="0.88621585346081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'P&amp;L Assumptions'!$A$8</c:f>
              <c:strCache>
                <c:ptCount val="1"/>
                <c:pt idx="0">
                  <c:v>Revenues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'P&amp;L Assumptions'!$C$6:$I$6</c:f>
              <c:strCache>
                <c:ptCount val="7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 FORECAST</c:v>
                </c:pt>
                <c:pt idx="4">
                  <c:v>FY27 FORECAST</c:v>
                </c:pt>
                <c:pt idx="5">
                  <c:v>FY28 FORECAST</c:v>
                </c:pt>
                <c:pt idx="6">
                  <c:v>FY29 FORECAST</c:v>
                </c:pt>
              </c:strCache>
            </c:strRef>
          </c:cat>
          <c:val>
            <c:numRef>
              <c:f>'P&amp;L Assumptions'!$B$8:$I$8</c:f>
              <c:numCache>
                <c:formatCode>General</c:formatCode>
                <c:ptCount val="8"/>
                <c:pt idx="1">
                  <c:v>41833.25</c:v>
                </c:pt>
                <c:pt idx="2">
                  <c:v>49532.95</c:v>
                </c:pt>
                <c:pt idx="3">
                  <c:v>57789.81</c:v>
                </c:pt>
                <c:pt idx="4">
                  <c:v>68769.873899999991</c:v>
                </c:pt>
                <c:pt idx="5">
                  <c:v>81148.451201999982</c:v>
                </c:pt>
                <c:pt idx="6">
                  <c:v>94943.687906339968</c:v>
                </c:pt>
                <c:pt idx="7">
                  <c:v>110134.67797135435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C-404A-AE12-35E3710D6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648784"/>
        <c:axId val="70649264"/>
      </c:barChart>
      <c:lineChart>
        <c:grouping val="standard"/>
        <c:varyColors val="0"/>
        <c:ser>
          <c:idx val="1"/>
          <c:order val="1"/>
          <c:tx>
            <c:v>PAT</c:v>
          </c:tx>
          <c:spPr>
            <a:ln w="34925" cap="rnd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>
                    <a:shade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numRef>
              <c:f>'P&amp;L Assumptions'!$C$58:$I$58</c:f>
              <c:numCache>
                <c:formatCode>General</c:formatCode>
                <c:ptCount val="7"/>
                <c:pt idx="0">
                  <c:v>2556.4</c:v>
                </c:pt>
                <c:pt idx="1">
                  <c:v>2694.92</c:v>
                </c:pt>
                <c:pt idx="2">
                  <c:v>2927.18</c:v>
                </c:pt>
                <c:pt idx="3">
                  <c:v>3648.0940499850076</c:v>
                </c:pt>
                <c:pt idx="4">
                  <c:v>4281.2582789823009</c:v>
                </c:pt>
                <c:pt idx="5">
                  <c:v>4986.8846364092906</c:v>
                </c:pt>
                <c:pt idx="6">
                  <c:v>5763.9037782347805</c:v>
                </c:pt>
              </c:numCache>
            </c:numRef>
          </c:cat>
          <c:val>
            <c:numRef>
              <c:f>'P&amp;L Assumptions'!$C$58:$I$58</c:f>
              <c:numCache>
                <c:formatCode>General</c:formatCode>
                <c:ptCount val="7"/>
                <c:pt idx="0">
                  <c:v>2556.4</c:v>
                </c:pt>
                <c:pt idx="1">
                  <c:v>2694.92</c:v>
                </c:pt>
                <c:pt idx="2">
                  <c:v>2927.18</c:v>
                </c:pt>
                <c:pt idx="3">
                  <c:v>3648.0940499850076</c:v>
                </c:pt>
                <c:pt idx="4">
                  <c:v>4281.2582789823009</c:v>
                </c:pt>
                <c:pt idx="5">
                  <c:v>4986.8846364092906</c:v>
                </c:pt>
                <c:pt idx="6">
                  <c:v>5763.9037782347805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C-404A-AE12-35E3710D6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566992"/>
        <c:axId val="2108567952"/>
      </c:lineChart>
      <c:catAx>
        <c:axId val="7064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49264"/>
        <c:crosses val="autoZero"/>
        <c:auto val="1"/>
        <c:lblAlgn val="ctr"/>
        <c:lblOffset val="100"/>
        <c:noMultiLvlLbl val="0"/>
      </c:catAx>
      <c:valAx>
        <c:axId val="7064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48784"/>
        <c:crosses val="autoZero"/>
        <c:crossBetween val="between"/>
      </c:valAx>
      <c:valAx>
        <c:axId val="21085679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566992"/>
        <c:crosses val="max"/>
        <c:crossBetween val="between"/>
      </c:valAx>
      <c:catAx>
        <c:axId val="2108566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08567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tx1"/>
                </a:solidFill>
              </a:rPr>
              <a:t>Expense</a:t>
            </a:r>
            <a:r>
              <a:rPr lang="en-IN" sz="2000" b="1" baseline="0">
                <a:solidFill>
                  <a:schemeClr val="tx1"/>
                </a:solidFill>
              </a:rPr>
              <a:t> chart</a:t>
            </a:r>
            <a:endParaRPr lang="en-IN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'Expense Table'!$B$1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'Expense Table'!$A$2:$A$8</c:f>
              <c:strCache>
                <c:ptCount val="7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 Forecast</c:v>
                </c:pt>
                <c:pt idx="4">
                  <c:v>FY27 Forecast</c:v>
                </c:pt>
                <c:pt idx="5">
                  <c:v>FY28 Forecast</c:v>
                </c:pt>
                <c:pt idx="6">
                  <c:v>FY29 Forecast</c:v>
                </c:pt>
              </c:strCache>
            </c:strRef>
          </c:cat>
          <c:val>
            <c:numRef>
              <c:f>'Expense Table'!$B$2:$B$8</c:f>
              <c:numCache>
                <c:formatCode>General</c:formatCode>
                <c:ptCount val="7"/>
                <c:pt idx="0">
                  <c:v>35775.22</c:v>
                </c:pt>
                <c:pt idx="1">
                  <c:v>42546.65</c:v>
                </c:pt>
                <c:pt idx="2">
                  <c:v>49616.3</c:v>
                </c:pt>
                <c:pt idx="3">
                  <c:v>58798.242184499992</c:v>
                </c:pt>
                <c:pt idx="4">
                  <c:v>69381.925777709985</c:v>
                </c:pt>
                <c:pt idx="5">
                  <c:v>81176.853159920676</c:v>
                </c:pt>
                <c:pt idx="6">
                  <c:v>94165.149665507968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9-4961-8703-DE2193F4EE7D}"/>
            </c:ext>
          </c:extLst>
        </c:ser>
        <c:ser>
          <c:idx val="1"/>
          <c:order val="1"/>
          <c:tx>
            <c:strRef>
              <c:f>'Expense Table'!$C$1</c:f>
              <c:strCache>
                <c:ptCount val="1"/>
                <c:pt idx="0">
                  <c:v>Employee Expense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'Expense Table'!$A$2:$A$8</c:f>
              <c:strCache>
                <c:ptCount val="7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 Forecast</c:v>
                </c:pt>
                <c:pt idx="4">
                  <c:v>FY27 Forecast</c:v>
                </c:pt>
                <c:pt idx="5">
                  <c:v>FY28 Forecast</c:v>
                </c:pt>
                <c:pt idx="6">
                  <c:v>FY29 Forecast</c:v>
                </c:pt>
              </c:strCache>
            </c:strRef>
          </c:cat>
          <c:val>
            <c:numRef>
              <c:f>'Expense Table'!$C$2:$C$8</c:f>
              <c:numCache>
                <c:formatCode>General</c:formatCode>
                <c:ptCount val="7"/>
                <c:pt idx="0">
                  <c:v>648.17999999999995</c:v>
                </c:pt>
                <c:pt idx="1">
                  <c:v>785.71</c:v>
                </c:pt>
                <c:pt idx="2">
                  <c:v>1013.26</c:v>
                </c:pt>
                <c:pt idx="3">
                  <c:v>1237.8577301999997</c:v>
                </c:pt>
                <c:pt idx="4">
                  <c:v>1460.6721216359995</c:v>
                </c:pt>
                <c:pt idx="5">
                  <c:v>1708.9863823141193</c:v>
                </c:pt>
                <c:pt idx="6">
                  <c:v>1982.4242034843783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9-4961-8703-DE2193F4EE7D}"/>
            </c:ext>
          </c:extLst>
        </c:ser>
        <c:ser>
          <c:idx val="2"/>
          <c:order val="2"/>
          <c:tx>
            <c:strRef>
              <c:f>'Expense Table'!$D$1</c:f>
              <c:strCache>
                <c:ptCount val="1"/>
                <c:pt idx="0">
                  <c:v>Finance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'Expense Table'!$A$2:$A$8</c:f>
              <c:strCache>
                <c:ptCount val="7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 Forecast</c:v>
                </c:pt>
                <c:pt idx="4">
                  <c:v>FY27 Forecast</c:v>
                </c:pt>
                <c:pt idx="5">
                  <c:v>FY28 Forecast</c:v>
                </c:pt>
                <c:pt idx="6">
                  <c:v>FY29 Forecast</c:v>
                </c:pt>
              </c:strCache>
            </c:strRef>
          </c:cat>
          <c:val>
            <c:numRef>
              <c:f>'Expense Table'!$D$2:$D$8</c:f>
              <c:numCache>
                <c:formatCode>General</c:formatCode>
                <c:ptCount val="7"/>
                <c:pt idx="0">
                  <c:v>48.07</c:v>
                </c:pt>
                <c:pt idx="1">
                  <c:v>44.27</c:v>
                </c:pt>
                <c:pt idx="2">
                  <c:v>57.75</c:v>
                </c:pt>
                <c:pt idx="3">
                  <c:v>55.015899119999993</c:v>
                </c:pt>
                <c:pt idx="4">
                  <c:v>64.918760961599986</c:v>
                </c:pt>
                <c:pt idx="5">
                  <c:v>75.954950325071977</c:v>
                </c:pt>
                <c:pt idx="6">
                  <c:v>88.107742377083483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69-4961-8703-DE2193F4EE7D}"/>
            </c:ext>
          </c:extLst>
        </c:ser>
        <c:ser>
          <c:idx val="3"/>
          <c:order val="3"/>
          <c:tx>
            <c:strRef>
              <c:f>'Expense Table'!$E$1</c:f>
              <c:strCache>
                <c:ptCount val="1"/>
                <c:pt idx="0">
                  <c:v>Depreciation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'Expense Table'!$A$2:$A$8</c:f>
              <c:strCache>
                <c:ptCount val="7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 Forecast</c:v>
                </c:pt>
                <c:pt idx="4">
                  <c:v>FY27 Forecast</c:v>
                </c:pt>
                <c:pt idx="5">
                  <c:v>FY28 Forecast</c:v>
                </c:pt>
                <c:pt idx="6">
                  <c:v>FY29 Forecast</c:v>
                </c:pt>
              </c:strCache>
            </c:strRef>
          </c:cat>
          <c:val>
            <c:numRef>
              <c:f>'Expense Table'!$E$2:$E$8</c:f>
              <c:numCache>
                <c:formatCode>General</c:formatCode>
                <c:ptCount val="7"/>
                <c:pt idx="0">
                  <c:v>543.25</c:v>
                </c:pt>
                <c:pt idx="1">
                  <c:v>632.79</c:v>
                </c:pt>
                <c:pt idx="2">
                  <c:v>775.82</c:v>
                </c:pt>
                <c:pt idx="3">
                  <c:v>894.0083606999998</c:v>
                </c:pt>
                <c:pt idx="4">
                  <c:v>1054.9298656259998</c:v>
                </c:pt>
                <c:pt idx="5">
                  <c:v>1234.2679427824196</c:v>
                </c:pt>
                <c:pt idx="6">
                  <c:v>1431.7508136276065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69-4961-8703-DE2193F4EE7D}"/>
            </c:ext>
          </c:extLst>
        </c:ser>
        <c:ser>
          <c:idx val="4"/>
          <c:order val="4"/>
          <c:tx>
            <c:strRef>
              <c:f>'Expense Table'!$F$1</c:f>
              <c:strCache>
                <c:ptCount val="1"/>
                <c:pt idx="0">
                  <c:v>Other Expenses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'Expense Table'!$A$2:$A$8</c:f>
              <c:strCache>
                <c:ptCount val="7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 Forecast</c:v>
                </c:pt>
                <c:pt idx="4">
                  <c:v>FY27 Forecast</c:v>
                </c:pt>
                <c:pt idx="5">
                  <c:v>FY28 Forecast</c:v>
                </c:pt>
                <c:pt idx="6">
                  <c:v>FY29 Forecast</c:v>
                </c:pt>
              </c:strCache>
            </c:strRef>
          </c:cat>
          <c:val>
            <c:numRef>
              <c:f>'Expense Table'!$F$2:$F$8</c:f>
              <c:numCache>
                <c:formatCode>General</c:formatCode>
                <c:ptCount val="7"/>
                <c:pt idx="0">
                  <c:v>1750.46</c:v>
                </c:pt>
                <c:pt idx="1">
                  <c:v>2101.1999999999998</c:v>
                </c:pt>
                <c:pt idx="2">
                  <c:v>2617.5300000000002</c:v>
                </c:pt>
                <c:pt idx="3">
                  <c:v>3094.6443254999995</c:v>
                </c:pt>
                <c:pt idx="4">
                  <c:v>3651.680304089999</c:v>
                </c:pt>
                <c:pt idx="5">
                  <c:v>4272.4659557852983</c:v>
                </c:pt>
                <c:pt idx="6">
                  <c:v>4956.0605087109452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69-4961-8703-DE2193F4E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630064"/>
        <c:axId val="70647824"/>
      </c:barChart>
      <c:catAx>
        <c:axId val="7063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47824"/>
        <c:crosses val="autoZero"/>
        <c:auto val="1"/>
        <c:lblAlgn val="ctr"/>
        <c:lblOffset val="100"/>
        <c:noMultiLvlLbl val="0"/>
      </c:catAx>
      <c:valAx>
        <c:axId val="70647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630064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6A263E-9961-4931-BA30-E49D1241A9AF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4C36A8-0DC4-44AE-94E6-62008E155121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2E7C5E-4E35-4C5C-8383-6EF4E449462A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3D5200-D29B-4FD3-A8F1-0BE82CAFB74F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8AD00-D3E3-A600-6734-196363CB4B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B8A02-E085-EF66-E507-FA6A4110BB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324D2-5865-CC65-6DA9-B8AB6F3E5F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48D9EB-4BBC-3935-774C-6337A538DB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D16" sqref="D16"/>
    </sheetView>
  </sheetViews>
  <sheetFormatPr defaultRowHeight="14.4" x14ac:dyDescent="0.3"/>
  <cols>
    <col min="1" max="1" width="43.88671875" customWidth="1"/>
    <col min="2" max="2" width="31.44140625" customWidth="1"/>
    <col min="3" max="3" width="30.21875" customWidth="1"/>
    <col min="4" max="4" width="25.33203125" customWidth="1"/>
    <col min="5" max="5" width="31.77734375" customWidth="1"/>
    <col min="6" max="6" width="27" customWidth="1"/>
  </cols>
  <sheetData>
    <row r="1" spans="1:6" x14ac:dyDescent="0.3">
      <c r="A1" s="1" t="s">
        <v>0</v>
      </c>
      <c r="B1" s="3" t="s">
        <v>24</v>
      </c>
      <c r="C1" s="1" t="s">
        <v>2</v>
      </c>
      <c r="D1" s="1" t="s">
        <v>1</v>
      </c>
      <c r="E1" s="1"/>
      <c r="F1" s="1"/>
    </row>
    <row r="2" spans="1:6" x14ac:dyDescent="0.3">
      <c r="A2" t="s">
        <v>3</v>
      </c>
      <c r="B2">
        <v>41833.25</v>
      </c>
      <c r="C2">
        <v>49532.95</v>
      </c>
      <c r="D2">
        <v>57789.81</v>
      </c>
      <c r="F2" t="s">
        <v>36</v>
      </c>
    </row>
    <row r="3" spans="1:6" x14ac:dyDescent="0.3">
      <c r="A3" t="s">
        <v>4</v>
      </c>
      <c r="B3">
        <v>163.09</v>
      </c>
      <c r="C3">
        <v>189.05</v>
      </c>
      <c r="D3">
        <v>174.02</v>
      </c>
      <c r="F3" t="s">
        <v>37</v>
      </c>
    </row>
    <row r="4" spans="1:6" x14ac:dyDescent="0.3">
      <c r="A4" s="2" t="s">
        <v>5</v>
      </c>
      <c r="B4">
        <v>41996.34</v>
      </c>
      <c r="C4">
        <v>49722</v>
      </c>
      <c r="D4">
        <v>57963.83</v>
      </c>
      <c r="F4" t="s">
        <v>38</v>
      </c>
    </row>
    <row r="5" spans="1:6" x14ac:dyDescent="0.3">
      <c r="A5" t="s">
        <v>6</v>
      </c>
      <c r="B5">
        <v>36243.89</v>
      </c>
      <c r="C5">
        <v>43214.52</v>
      </c>
      <c r="D5">
        <v>50698.32</v>
      </c>
      <c r="F5" t="s">
        <v>39</v>
      </c>
    </row>
    <row r="6" spans="1:6" x14ac:dyDescent="0.3">
      <c r="A6" t="s">
        <v>7</v>
      </c>
      <c r="B6">
        <v>-468.67</v>
      </c>
      <c r="C6">
        <v>-667.87</v>
      </c>
      <c r="D6">
        <v>-1082.02</v>
      </c>
    </row>
    <row r="7" spans="1:6" x14ac:dyDescent="0.3">
      <c r="A7" t="s">
        <v>8</v>
      </c>
      <c r="B7">
        <v>648.17999999999995</v>
      </c>
      <c r="C7">
        <v>785.71</v>
      </c>
      <c r="D7">
        <v>1013.26</v>
      </c>
    </row>
    <row r="8" spans="1:6" x14ac:dyDescent="0.3">
      <c r="A8" t="s">
        <v>9</v>
      </c>
      <c r="B8">
        <v>48.07</v>
      </c>
      <c r="C8">
        <v>44.27</v>
      </c>
      <c r="D8">
        <v>57.75</v>
      </c>
    </row>
    <row r="9" spans="1:6" x14ac:dyDescent="0.3">
      <c r="A9" t="s">
        <v>10</v>
      </c>
      <c r="B9">
        <v>543.25</v>
      </c>
      <c r="C9">
        <v>632.79</v>
      </c>
      <c r="D9">
        <v>775.82</v>
      </c>
    </row>
    <row r="10" spans="1:6" x14ac:dyDescent="0.3">
      <c r="A10" t="s">
        <v>11</v>
      </c>
      <c r="B10">
        <v>1750.46</v>
      </c>
      <c r="C10">
        <v>2101.1999999999998</v>
      </c>
      <c r="D10">
        <v>2617.5300000000002</v>
      </c>
    </row>
    <row r="11" spans="1:6" x14ac:dyDescent="0.3">
      <c r="A11" s="2" t="s">
        <v>12</v>
      </c>
      <c r="B11">
        <v>38765.18</v>
      </c>
      <c r="C11">
        <v>46110.62</v>
      </c>
      <c r="D11">
        <v>54080.66</v>
      </c>
    </row>
    <row r="12" spans="1:6" x14ac:dyDescent="0.3">
      <c r="A12" s="2" t="s">
        <v>13</v>
      </c>
      <c r="B12">
        <v>3231.16</v>
      </c>
      <c r="C12">
        <v>3611.38</v>
      </c>
      <c r="D12">
        <v>3883.17</v>
      </c>
    </row>
    <row r="13" spans="1:6" x14ac:dyDescent="0.3">
      <c r="A13" t="s">
        <v>14</v>
      </c>
      <c r="B13">
        <v>799.88</v>
      </c>
      <c r="C13">
        <v>901</v>
      </c>
      <c r="D13">
        <v>970.89</v>
      </c>
    </row>
    <row r="14" spans="1:6" x14ac:dyDescent="0.3">
      <c r="A14" t="s">
        <v>15</v>
      </c>
      <c r="B14">
        <v>13.66</v>
      </c>
      <c r="C14">
        <v>15.54</v>
      </c>
      <c r="D14">
        <v>21.11</v>
      </c>
    </row>
    <row r="15" spans="1:6" x14ac:dyDescent="0.3">
      <c r="A15" t="s">
        <v>16</v>
      </c>
      <c r="B15">
        <v>-138.78</v>
      </c>
      <c r="C15">
        <v>-0.08</v>
      </c>
      <c r="D15">
        <v>-36.01</v>
      </c>
    </row>
    <row r="16" spans="1:6" x14ac:dyDescent="0.3">
      <c r="A16" s="2" t="s">
        <v>17</v>
      </c>
      <c r="B16">
        <v>2556.4</v>
      </c>
      <c r="C16">
        <v>2694.92</v>
      </c>
      <c r="D16">
        <v>2927.18</v>
      </c>
    </row>
    <row r="17" spans="1:4" x14ac:dyDescent="0.3">
      <c r="A17" t="s">
        <v>18</v>
      </c>
      <c r="B17">
        <v>-4.22</v>
      </c>
      <c r="C17">
        <v>-7.6</v>
      </c>
      <c r="D17">
        <v>-7.33</v>
      </c>
    </row>
    <row r="18" spans="1:4" x14ac:dyDescent="0.3">
      <c r="A18" s="2" t="s">
        <v>19</v>
      </c>
      <c r="B18">
        <v>2552.1799999999998</v>
      </c>
      <c r="C18">
        <v>2687.32</v>
      </c>
      <c r="D18">
        <v>2919.85</v>
      </c>
    </row>
    <row r="19" spans="1:4" x14ac:dyDescent="0.3">
      <c r="A19" t="s">
        <v>20</v>
      </c>
      <c r="B19">
        <v>648.26</v>
      </c>
      <c r="C19">
        <v>650.73</v>
      </c>
      <c r="D19">
        <v>650.73</v>
      </c>
    </row>
    <row r="20" spans="1:4" x14ac:dyDescent="0.3">
      <c r="A20" t="s">
        <v>21</v>
      </c>
      <c r="B20">
        <v>15854.27</v>
      </c>
      <c r="C20">
        <v>18629.88</v>
      </c>
      <c r="D20">
        <v>21579.439999999999</v>
      </c>
    </row>
    <row r="21" spans="1:4" x14ac:dyDescent="0.3">
      <c r="A21" t="s">
        <v>22</v>
      </c>
      <c r="B21">
        <v>39.46</v>
      </c>
      <c r="C21">
        <v>41.43</v>
      </c>
      <c r="D21">
        <v>44.98</v>
      </c>
    </row>
    <row r="22" spans="1:4" x14ac:dyDescent="0.3">
      <c r="A22" t="s">
        <v>23</v>
      </c>
      <c r="B22">
        <v>39.22</v>
      </c>
      <c r="C22">
        <v>41.36</v>
      </c>
      <c r="D22">
        <v>44.87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5C85-EA01-49BA-A301-705E84D00290}">
  <dimension ref="A1:O58"/>
  <sheetViews>
    <sheetView tabSelected="1" topLeftCell="A31" zoomScaleNormal="100" workbookViewId="0">
      <selection activeCell="C4" sqref="C4"/>
    </sheetView>
  </sheetViews>
  <sheetFormatPr defaultRowHeight="14.4" x14ac:dyDescent="0.3"/>
  <cols>
    <col min="1" max="1" width="16.88671875" customWidth="1"/>
    <col min="3" max="3" width="9.5546875" customWidth="1"/>
    <col min="4" max="4" width="9.21875" customWidth="1"/>
    <col min="5" max="5" width="9.44140625" customWidth="1"/>
    <col min="6" max="6" width="13.88671875" bestFit="1" customWidth="1"/>
    <col min="7" max="7" width="16.21875" customWidth="1"/>
    <col min="8" max="8" width="13.44140625" bestFit="1" customWidth="1"/>
    <col min="9" max="9" width="15.33203125" customWidth="1"/>
    <col min="10" max="10" width="13.88671875" bestFit="1" customWidth="1"/>
    <col min="11" max="11" width="8.88671875" customWidth="1"/>
    <col min="12" max="12" width="13.77734375" customWidth="1"/>
    <col min="13" max="13" width="11.109375" customWidth="1"/>
    <col min="14" max="14" width="13.21875" customWidth="1"/>
    <col min="15" max="15" width="10.33203125" customWidth="1"/>
    <col min="16" max="16" width="8.77734375" customWidth="1"/>
    <col min="17" max="17" width="11.44140625" customWidth="1"/>
    <col min="21" max="21" width="12" customWidth="1"/>
    <col min="22" max="22" width="10.109375" customWidth="1"/>
    <col min="23" max="23" width="12" customWidth="1"/>
  </cols>
  <sheetData>
    <row r="1" spans="1:14" x14ac:dyDescent="0.3">
      <c r="G1" t="s">
        <v>25</v>
      </c>
    </row>
    <row r="2" spans="1:14" x14ac:dyDescent="0.3">
      <c r="G2" t="s">
        <v>26</v>
      </c>
      <c r="H2" t="s">
        <v>29</v>
      </c>
    </row>
    <row r="3" spans="1:14" x14ac:dyDescent="0.3">
      <c r="A3" t="s">
        <v>31</v>
      </c>
      <c r="C3" s="7">
        <v>1</v>
      </c>
      <c r="G3" t="s">
        <v>27</v>
      </c>
      <c r="H3" t="s">
        <v>30</v>
      </c>
    </row>
    <row r="4" spans="1:14" x14ac:dyDescent="0.3">
      <c r="G4" t="s">
        <v>28</v>
      </c>
      <c r="H4" t="s">
        <v>60</v>
      </c>
    </row>
    <row r="6" spans="1:14" x14ac:dyDescent="0.3">
      <c r="C6" t="s">
        <v>41</v>
      </c>
      <c r="D6" t="s">
        <v>43</v>
      </c>
      <c r="E6" t="s">
        <v>42</v>
      </c>
      <c r="F6" s="8" t="s">
        <v>44</v>
      </c>
      <c r="G6" s="8" t="s">
        <v>47</v>
      </c>
      <c r="H6" s="8" t="s">
        <v>46</v>
      </c>
      <c r="I6" s="9" t="s">
        <v>48</v>
      </c>
      <c r="J6" s="10"/>
      <c r="L6" s="11"/>
      <c r="N6" s="11"/>
    </row>
    <row r="8" spans="1:14" x14ac:dyDescent="0.3">
      <c r="A8" t="s">
        <v>32</v>
      </c>
      <c r="C8">
        <v>41833.25</v>
      </c>
      <c r="D8">
        <v>49532.95</v>
      </c>
      <c r="E8">
        <v>57789.81</v>
      </c>
      <c r="F8">
        <f>E8*(1+F9)</f>
        <v>68769.873899999991</v>
      </c>
      <c r="G8">
        <f t="shared" ref="G8:I8" si="0">F8*(1+G9)</f>
        <v>81148.451201999982</v>
      </c>
      <c r="H8">
        <f t="shared" si="0"/>
        <v>94943.687906339968</v>
      </c>
      <c r="I8">
        <f t="shared" si="0"/>
        <v>110134.67797135435</v>
      </c>
    </row>
    <row r="9" spans="1:14" x14ac:dyDescent="0.3">
      <c r="A9" t="s">
        <v>33</v>
      </c>
      <c r="D9" s="4">
        <f>D8/C8-1</f>
        <v>0.18405694035247078</v>
      </c>
      <c r="E9" s="4">
        <f>E8/D8-1</f>
        <v>0.16669429137574077</v>
      </c>
      <c r="F9" s="4">
        <f>CHOOSE($C$3,F10,F11,F12)</f>
        <v>0.19</v>
      </c>
      <c r="G9" s="4">
        <f t="shared" ref="G9" si="1">CHOOSE($C$3,G10,G11,G12)</f>
        <v>0.18</v>
      </c>
      <c r="H9" s="4">
        <f>CHOOSE($C$3,H10,H11,H12)</f>
        <v>0.17</v>
      </c>
      <c r="I9" s="4">
        <f t="shared" ref="I9" si="2">CHOOSE($C$3,I10,I11,I12)</f>
        <v>0.16</v>
      </c>
      <c r="J9" s="4"/>
      <c r="K9" s="4"/>
      <c r="L9" s="4"/>
      <c r="M9" s="4"/>
      <c r="N9" s="4"/>
    </row>
    <row r="10" spans="1:14" x14ac:dyDescent="0.3">
      <c r="A10" t="s">
        <v>26</v>
      </c>
      <c r="C10" s="6"/>
      <c r="D10" s="6"/>
      <c r="E10" s="6"/>
      <c r="F10" s="5">
        <v>0.19</v>
      </c>
      <c r="G10" s="5">
        <v>0.18</v>
      </c>
      <c r="H10" s="5">
        <v>0.17</v>
      </c>
      <c r="I10" s="5">
        <v>0.16</v>
      </c>
      <c r="J10" s="5"/>
      <c r="K10" s="5"/>
      <c r="L10" s="5"/>
      <c r="M10" s="5"/>
      <c r="N10" s="5"/>
    </row>
    <row r="11" spans="1:14" x14ac:dyDescent="0.3">
      <c r="A11" t="s">
        <v>27</v>
      </c>
      <c r="C11" s="6"/>
      <c r="D11" s="6"/>
      <c r="E11" s="6"/>
      <c r="F11" s="5">
        <v>0.17</v>
      </c>
      <c r="G11" s="5">
        <v>0.16</v>
      </c>
      <c r="H11" s="5">
        <v>0.15</v>
      </c>
      <c r="I11" s="5">
        <v>0.14000000000000001</v>
      </c>
      <c r="J11" s="5"/>
      <c r="K11" s="5"/>
      <c r="L11" s="5"/>
      <c r="M11" s="5"/>
      <c r="N11" s="5"/>
    </row>
    <row r="12" spans="1:14" x14ac:dyDescent="0.3">
      <c r="A12" t="s">
        <v>28</v>
      </c>
      <c r="C12" s="6"/>
      <c r="D12" s="6"/>
      <c r="E12" s="6"/>
      <c r="F12" s="5">
        <v>0.15</v>
      </c>
      <c r="G12" s="5">
        <v>0.14000000000000001</v>
      </c>
      <c r="H12" s="5">
        <v>0.13</v>
      </c>
      <c r="I12" s="5">
        <v>0.12</v>
      </c>
      <c r="J12" s="5"/>
      <c r="K12" s="5"/>
      <c r="L12" s="5"/>
      <c r="M12" s="5"/>
      <c r="N12" s="5"/>
    </row>
    <row r="14" spans="1:14" x14ac:dyDescent="0.3">
      <c r="A14" t="s">
        <v>34</v>
      </c>
      <c r="C14">
        <v>163.09</v>
      </c>
      <c r="D14">
        <v>189.05</v>
      </c>
      <c r="E14">
        <v>174.02</v>
      </c>
      <c r="F14">
        <f>E14*(1+F15)</f>
        <v>174.02</v>
      </c>
      <c r="G14">
        <f t="shared" ref="G14:I14" si="3">F14*(1+G15)</f>
        <v>174.02</v>
      </c>
      <c r="H14">
        <f t="shared" si="3"/>
        <v>174.02</v>
      </c>
      <c r="I14">
        <f t="shared" si="3"/>
        <v>174.02</v>
      </c>
    </row>
    <row r="15" spans="1:14" x14ac:dyDescent="0.3">
      <c r="A15" t="s">
        <v>33</v>
      </c>
      <c r="F15" s="4">
        <f>CHOOSE($C$3,F16,F17,F18)</f>
        <v>0</v>
      </c>
      <c r="G15" s="4">
        <f t="shared" ref="G15:I15" si="4">CHOOSE($C$3,G16,G17,G18)</f>
        <v>0</v>
      </c>
      <c r="H15" s="4">
        <f t="shared" si="4"/>
        <v>0</v>
      </c>
      <c r="I15" s="4">
        <f t="shared" si="4"/>
        <v>0</v>
      </c>
      <c r="J15" s="4"/>
      <c r="K15" s="4"/>
      <c r="L15" s="4"/>
      <c r="M15" s="4"/>
      <c r="N15" s="4"/>
    </row>
    <row r="16" spans="1:14" x14ac:dyDescent="0.3">
      <c r="A16" t="s">
        <v>26</v>
      </c>
      <c r="C16" s="6"/>
      <c r="D16" s="6"/>
      <c r="E16" s="6"/>
      <c r="F16" s="5">
        <v>0</v>
      </c>
      <c r="G16" s="5">
        <v>0</v>
      </c>
      <c r="H16" s="5">
        <v>0</v>
      </c>
      <c r="I16" s="5">
        <v>0</v>
      </c>
      <c r="J16" s="5"/>
      <c r="K16" s="5"/>
      <c r="L16" s="5"/>
      <c r="M16" s="5"/>
      <c r="N16" s="5"/>
    </row>
    <row r="17" spans="1:14" x14ac:dyDescent="0.3">
      <c r="A17" t="s">
        <v>27</v>
      </c>
      <c r="C17" s="6"/>
      <c r="D17" s="6"/>
      <c r="E17" s="6"/>
      <c r="F17" s="5">
        <v>0</v>
      </c>
      <c r="G17" s="5">
        <v>0</v>
      </c>
      <c r="H17" s="5">
        <v>0</v>
      </c>
      <c r="I17" s="5">
        <v>0</v>
      </c>
      <c r="J17" s="5"/>
      <c r="K17" s="5"/>
      <c r="L17" s="5"/>
      <c r="M17" s="5"/>
      <c r="N17" s="5"/>
    </row>
    <row r="18" spans="1:14" x14ac:dyDescent="0.3">
      <c r="A18" t="s">
        <v>28</v>
      </c>
      <c r="C18" s="6"/>
      <c r="D18" s="6"/>
      <c r="E18" s="6"/>
      <c r="F18" s="5">
        <v>0</v>
      </c>
      <c r="G18" s="5">
        <v>0</v>
      </c>
      <c r="H18" s="5">
        <v>0</v>
      </c>
      <c r="I18" s="5">
        <v>0</v>
      </c>
      <c r="J18" s="5"/>
      <c r="K18" s="5"/>
      <c r="L18" s="5"/>
      <c r="M18" s="5"/>
      <c r="N18" s="5"/>
    </row>
    <row r="20" spans="1:14" x14ac:dyDescent="0.3">
      <c r="A20" t="s">
        <v>63</v>
      </c>
      <c r="C20">
        <v>35775.22</v>
      </c>
      <c r="D20">
        <v>42546.65</v>
      </c>
      <c r="E20">
        <v>49616.3</v>
      </c>
      <c r="F20">
        <f>F8*F21</f>
        <v>58798.242184499992</v>
      </c>
      <c r="G20">
        <f t="shared" ref="G20:I20" si="5">G8*G21</f>
        <v>69381.925777709985</v>
      </c>
      <c r="H20">
        <f t="shared" si="5"/>
        <v>81176.853159920676</v>
      </c>
      <c r="I20">
        <f t="shared" si="5"/>
        <v>94165.149665507968</v>
      </c>
    </row>
    <row r="21" spans="1:14" x14ac:dyDescent="0.3">
      <c r="A21" t="s">
        <v>65</v>
      </c>
      <c r="C21" s="4">
        <f>C20/C$8</f>
        <v>0.85518624539092714</v>
      </c>
      <c r="D21" s="4">
        <f>D20/D$8</f>
        <v>0.85895651278593343</v>
      </c>
      <c r="E21" s="4">
        <f>E20/E8</f>
        <v>0.85856485771453483</v>
      </c>
      <c r="F21" s="4">
        <f>CHOOSE($C$3,F22,F23,F24)</f>
        <v>0.85499999999999998</v>
      </c>
      <c r="G21" s="4">
        <f>CHOOSE($C$3,G22,G23,G24)</f>
        <v>0.85499999999999998</v>
      </c>
      <c r="H21" s="4">
        <f>CHOOSE($C$3,H22,H23,H24)</f>
        <v>0.85499999999999998</v>
      </c>
      <c r="I21" s="4">
        <f t="shared" ref="I21" si="6">CHOOSE($C$3,I22,I23,I24)</f>
        <v>0.85499999999999998</v>
      </c>
      <c r="J21" s="4"/>
      <c r="K21" s="4"/>
      <c r="L21" s="4"/>
      <c r="M21" s="4"/>
      <c r="N21" s="4"/>
    </row>
    <row r="22" spans="1:14" x14ac:dyDescent="0.3">
      <c r="A22" t="s">
        <v>26</v>
      </c>
      <c r="C22" s="6"/>
      <c r="D22" s="6"/>
      <c r="E22" s="6"/>
      <c r="F22" s="5">
        <v>0.85499999999999998</v>
      </c>
      <c r="G22" s="5">
        <v>0.85499999999999998</v>
      </c>
      <c r="H22" s="5">
        <v>0.85499999999999998</v>
      </c>
      <c r="I22" s="5">
        <v>0.85499999999999998</v>
      </c>
      <c r="J22" s="5"/>
      <c r="K22" s="5"/>
      <c r="L22" s="5"/>
      <c r="M22" s="5"/>
      <c r="N22" s="5"/>
    </row>
    <row r="23" spans="1:14" x14ac:dyDescent="0.3">
      <c r="A23" t="s">
        <v>27</v>
      </c>
      <c r="C23" s="6"/>
      <c r="D23" s="6"/>
      <c r="E23" s="6"/>
      <c r="F23" s="5">
        <v>0.85899999999999999</v>
      </c>
      <c r="G23" s="5">
        <v>0.85899999999999999</v>
      </c>
      <c r="H23" s="5">
        <v>0.85899999999999999</v>
      </c>
      <c r="I23" s="5">
        <v>0.85899999999999999</v>
      </c>
      <c r="J23" s="5"/>
      <c r="K23" s="5"/>
      <c r="L23" s="5"/>
      <c r="M23" s="5"/>
      <c r="N23" s="5"/>
    </row>
    <row r="24" spans="1:14" x14ac:dyDescent="0.3">
      <c r="A24" t="s">
        <v>28</v>
      </c>
      <c r="C24" s="6"/>
      <c r="D24" s="6"/>
      <c r="E24" s="6"/>
      <c r="F24" s="5">
        <v>0.87</v>
      </c>
      <c r="G24" s="5">
        <v>0.87</v>
      </c>
      <c r="H24" s="5">
        <v>0.87</v>
      </c>
      <c r="I24" s="5">
        <v>0.87</v>
      </c>
      <c r="J24" s="5"/>
      <c r="K24" s="5"/>
      <c r="L24" s="5"/>
      <c r="M24" s="5"/>
      <c r="N24" s="5"/>
    </row>
    <row r="26" spans="1:14" x14ac:dyDescent="0.3">
      <c r="A26" t="s">
        <v>64</v>
      </c>
      <c r="C26">
        <v>648.17999999999995</v>
      </c>
      <c r="D26">
        <v>785.71</v>
      </c>
      <c r="E26">
        <v>1013.26</v>
      </c>
      <c r="F26">
        <f>F8*F27</f>
        <v>1237.8577301999997</v>
      </c>
      <c r="G26">
        <f t="shared" ref="G26:I26" si="7">G8*G27</f>
        <v>1460.6721216359995</v>
      </c>
      <c r="H26">
        <f t="shared" si="7"/>
        <v>1708.9863823141193</v>
      </c>
      <c r="I26">
        <f t="shared" si="7"/>
        <v>1982.4242034843783</v>
      </c>
    </row>
    <row r="27" spans="1:14" x14ac:dyDescent="0.3">
      <c r="A27" t="s">
        <v>65</v>
      </c>
      <c r="C27" s="4">
        <f>C26/C$8</f>
        <v>1.5494373494767916E-2</v>
      </c>
      <c r="D27" s="4">
        <f t="shared" ref="D27:E27" si="8">D26/D$8</f>
        <v>1.5862370401924376E-2</v>
      </c>
      <c r="E27" s="4">
        <f t="shared" si="8"/>
        <v>1.753354094778993E-2</v>
      </c>
      <c r="F27" s="4">
        <f>CHOOSE($C$3,F28,F29,F30)</f>
        <v>1.7999999999999999E-2</v>
      </c>
      <c r="G27" s="4">
        <f>CHOOSE($C$3,G28,G29,G30)</f>
        <v>1.7999999999999999E-2</v>
      </c>
      <c r="H27" s="4">
        <f>CHOOSE($C$3,H28,H29,H30)</f>
        <v>1.7999999999999999E-2</v>
      </c>
      <c r="I27" s="4">
        <f t="shared" ref="I27" si="9">CHOOSE($C$3,I28,I29,I30)</f>
        <v>1.7999999999999999E-2</v>
      </c>
      <c r="J27" s="4"/>
      <c r="K27" s="4"/>
      <c r="L27" s="4"/>
      <c r="M27" s="4"/>
      <c r="N27" s="4"/>
    </row>
    <row r="28" spans="1:14" x14ac:dyDescent="0.3">
      <c r="A28" t="s">
        <v>26</v>
      </c>
      <c r="C28" s="6"/>
      <c r="D28" s="6"/>
      <c r="E28" s="6"/>
      <c r="F28" s="5">
        <v>1.7999999999999999E-2</v>
      </c>
      <c r="G28" s="5">
        <v>1.7999999999999999E-2</v>
      </c>
      <c r="H28" s="5">
        <v>1.7999999999999999E-2</v>
      </c>
      <c r="I28" s="5">
        <v>1.7999999999999999E-2</v>
      </c>
      <c r="J28" s="5"/>
      <c r="K28" s="5"/>
      <c r="L28" s="5"/>
      <c r="M28" s="5"/>
      <c r="N28" s="5"/>
    </row>
    <row r="29" spans="1:14" x14ac:dyDescent="0.3">
      <c r="A29" t="s">
        <v>27</v>
      </c>
      <c r="C29" s="6"/>
      <c r="D29" s="6"/>
      <c r="E29" s="6"/>
      <c r="F29" s="5">
        <v>0.02</v>
      </c>
      <c r="G29" s="5">
        <v>0.02</v>
      </c>
      <c r="H29" s="5">
        <v>0.02</v>
      </c>
      <c r="I29" s="5">
        <v>0.02</v>
      </c>
      <c r="J29" s="5"/>
      <c r="K29" s="5"/>
      <c r="L29" s="5"/>
      <c r="M29" s="5"/>
      <c r="N29" s="5"/>
    </row>
    <row r="30" spans="1:14" x14ac:dyDescent="0.3">
      <c r="A30" t="s">
        <v>28</v>
      </c>
      <c r="C30" s="6"/>
      <c r="D30" s="6"/>
      <c r="E30" s="6"/>
      <c r="F30" s="5">
        <v>2.3E-2</v>
      </c>
      <c r="G30" s="5">
        <v>2.3E-2</v>
      </c>
      <c r="H30" s="5">
        <v>2.3E-2</v>
      </c>
      <c r="I30" s="5">
        <v>2.3E-2</v>
      </c>
      <c r="J30" s="5"/>
      <c r="K30" s="5"/>
      <c r="L30" s="5"/>
      <c r="M30" s="5"/>
      <c r="N30" s="5"/>
    </row>
    <row r="32" spans="1:14" x14ac:dyDescent="0.3">
      <c r="A32" t="s">
        <v>9</v>
      </c>
      <c r="C32">
        <v>48.07</v>
      </c>
      <c r="D32">
        <v>44.27</v>
      </c>
      <c r="E32">
        <v>57.75</v>
      </c>
      <c r="F32">
        <f>F8*F33</f>
        <v>55.015899119999993</v>
      </c>
      <c r="G32">
        <f>G8*G33</f>
        <v>64.918760961599986</v>
      </c>
      <c r="H32">
        <f>H8*H33</f>
        <v>75.954950325071977</v>
      </c>
      <c r="I32">
        <f t="shared" ref="I32" si="10">I8*I33</f>
        <v>88.107742377083483</v>
      </c>
    </row>
    <row r="33" spans="1:14" x14ac:dyDescent="0.3">
      <c r="A33" t="s">
        <v>65</v>
      </c>
      <c r="C33" s="4">
        <f>C32/C$8</f>
        <v>1.1490859543544908E-3</v>
      </c>
      <c r="D33" s="4">
        <f t="shared" ref="D33:E33" si="11">D32/D$8</f>
        <v>8.9374850478317976E-4</v>
      </c>
      <c r="E33" s="4">
        <f t="shared" si="11"/>
        <v>9.9931112422761031E-4</v>
      </c>
      <c r="F33" s="4">
        <f>CHOOSE($C$3,F34,F35,F36)</f>
        <v>8.0000000000000004E-4</v>
      </c>
      <c r="G33" s="4">
        <f>CHOOSE($C$3,G34,G35,G36)</f>
        <v>8.0000000000000004E-4</v>
      </c>
      <c r="H33" s="4">
        <f>CHOOSE($C$3,H34,H35,H36)</f>
        <v>8.0000000000000004E-4</v>
      </c>
      <c r="I33" s="4">
        <f t="shared" ref="I33" si="12">CHOOSE($C$3,I34,I35,I36)</f>
        <v>8.0000000000000004E-4</v>
      </c>
      <c r="J33" s="4"/>
      <c r="K33" s="4"/>
      <c r="L33" s="4"/>
      <c r="M33" s="4"/>
      <c r="N33" s="4"/>
    </row>
    <row r="34" spans="1:14" x14ac:dyDescent="0.3">
      <c r="A34" t="s">
        <v>26</v>
      </c>
      <c r="C34" s="6"/>
      <c r="D34" s="6"/>
      <c r="E34" s="6"/>
      <c r="F34" s="5">
        <v>8.0000000000000004E-4</v>
      </c>
      <c r="G34" s="5">
        <v>8.0000000000000004E-4</v>
      </c>
      <c r="H34" s="5">
        <v>8.0000000000000004E-4</v>
      </c>
      <c r="I34" s="5">
        <v>8.0000000000000004E-4</v>
      </c>
      <c r="J34" s="5"/>
      <c r="K34" s="5"/>
      <c r="L34" s="5"/>
      <c r="M34" s="5"/>
      <c r="N34" s="5"/>
    </row>
    <row r="35" spans="1:14" x14ac:dyDescent="0.3">
      <c r="A35" t="s">
        <v>27</v>
      </c>
      <c r="C35" s="6"/>
      <c r="D35" s="6"/>
      <c r="E35" s="6"/>
      <c r="F35" s="5">
        <v>1E-3</v>
      </c>
      <c r="G35" s="5">
        <v>1E-3</v>
      </c>
      <c r="H35" s="5">
        <v>1E-3</v>
      </c>
      <c r="I35" s="5">
        <v>1E-3</v>
      </c>
      <c r="J35" s="5"/>
      <c r="K35" s="5"/>
      <c r="L35" s="5"/>
      <c r="M35" s="5"/>
      <c r="N35" s="5"/>
    </row>
    <row r="36" spans="1:14" x14ac:dyDescent="0.3">
      <c r="A36" t="s">
        <v>28</v>
      </c>
      <c r="C36" s="6"/>
      <c r="D36" s="6"/>
      <c r="E36" s="6"/>
      <c r="F36" s="5">
        <v>1.1999999999999999E-3</v>
      </c>
      <c r="G36" s="5">
        <v>1.1999999999999999E-3</v>
      </c>
      <c r="H36" s="5">
        <v>1.1999999999999999E-3</v>
      </c>
      <c r="I36" s="5">
        <v>1.1999999999999999E-3</v>
      </c>
      <c r="J36" s="5"/>
      <c r="K36" s="5"/>
      <c r="L36" s="5"/>
      <c r="M36" s="5"/>
      <c r="N36" s="5"/>
    </row>
    <row r="38" spans="1:14" x14ac:dyDescent="0.3">
      <c r="A38" t="s">
        <v>40</v>
      </c>
      <c r="C38">
        <v>543.25</v>
      </c>
      <c r="D38">
        <v>632.79</v>
      </c>
      <c r="E38">
        <v>775.82</v>
      </c>
      <c r="F38">
        <f>F8*F39</f>
        <v>894.0083606999998</v>
      </c>
      <c r="G38">
        <f t="shared" ref="G38:I38" si="13">G8*G39</f>
        <v>1054.9298656259998</v>
      </c>
      <c r="H38">
        <f t="shared" si="13"/>
        <v>1234.2679427824196</v>
      </c>
      <c r="I38">
        <f t="shared" si="13"/>
        <v>1431.7508136276065</v>
      </c>
    </row>
    <row r="39" spans="1:14" x14ac:dyDescent="0.3">
      <c r="A39" t="s">
        <v>35</v>
      </c>
      <c r="C39" s="4">
        <f>C38/C$8</f>
        <v>1.2986081645580967E-2</v>
      </c>
      <c r="D39" s="4">
        <f t="shared" ref="D39:E39" si="14">D38/D$8</f>
        <v>1.2775132512802084E-2</v>
      </c>
      <c r="E39" s="4">
        <f t="shared" si="14"/>
        <v>1.3424858119450472E-2</v>
      </c>
      <c r="F39" s="4">
        <f>CHOOSE($C$3,F40,F41,F42)</f>
        <v>1.2999999999999999E-2</v>
      </c>
      <c r="G39" s="4">
        <f>CHOOSE($C$3,G40,G41,G42)</f>
        <v>1.2999999999999999E-2</v>
      </c>
      <c r="H39" s="4">
        <f>CHOOSE($C$3,H40,H41,H42)</f>
        <v>1.2999999999999999E-2</v>
      </c>
      <c r="I39" s="4">
        <f t="shared" ref="I39" si="15">CHOOSE($C$3,I40,I41,I42)</f>
        <v>1.2999999999999999E-2</v>
      </c>
      <c r="J39" s="4"/>
      <c r="K39" s="4"/>
      <c r="L39" s="4"/>
      <c r="M39" s="4"/>
      <c r="N39" s="4"/>
    </row>
    <row r="40" spans="1:14" x14ac:dyDescent="0.3">
      <c r="A40" t="s">
        <v>26</v>
      </c>
      <c r="C40" s="6"/>
      <c r="D40" s="6"/>
      <c r="E40" s="6"/>
      <c r="F40" s="5">
        <v>1.2999999999999999E-2</v>
      </c>
      <c r="G40" s="5">
        <v>1.2999999999999999E-2</v>
      </c>
      <c r="H40" s="5">
        <v>1.2999999999999999E-2</v>
      </c>
      <c r="I40" s="5">
        <v>1.2999999999999999E-2</v>
      </c>
      <c r="J40" s="5"/>
      <c r="K40" s="5"/>
      <c r="L40" s="5"/>
      <c r="M40" s="5"/>
      <c r="N40" s="5"/>
    </row>
    <row r="41" spans="1:14" x14ac:dyDescent="0.3">
      <c r="A41" t="s">
        <v>27</v>
      </c>
      <c r="C41" s="6"/>
      <c r="D41" s="6"/>
      <c r="E41" s="6"/>
      <c r="F41" s="5">
        <v>1.4E-2</v>
      </c>
      <c r="G41" s="5">
        <v>1.4E-2</v>
      </c>
      <c r="H41" s="5">
        <v>1.4E-2</v>
      </c>
      <c r="I41" s="5">
        <v>1.4E-2</v>
      </c>
      <c r="J41" s="5"/>
      <c r="K41" s="5"/>
      <c r="L41" s="5"/>
      <c r="M41" s="5"/>
      <c r="N41" s="5"/>
    </row>
    <row r="42" spans="1:14" x14ac:dyDescent="0.3">
      <c r="A42" t="s">
        <v>28</v>
      </c>
      <c r="C42" s="6"/>
      <c r="D42" s="6"/>
      <c r="E42" s="6"/>
      <c r="F42" s="12">
        <v>1.4999999999999999E-2</v>
      </c>
      <c r="G42" s="12">
        <v>1.4999999999999999E-2</v>
      </c>
      <c r="H42" s="12">
        <v>1.4999999999999999E-2</v>
      </c>
      <c r="I42" s="12">
        <v>1.4999999999999999E-2</v>
      </c>
      <c r="J42" s="5"/>
      <c r="K42" s="5"/>
      <c r="L42" s="5"/>
      <c r="M42" s="5"/>
      <c r="N42" s="5"/>
    </row>
    <row r="44" spans="1:14" x14ac:dyDescent="0.3">
      <c r="A44" t="s">
        <v>11</v>
      </c>
      <c r="C44">
        <v>1750.46</v>
      </c>
      <c r="D44">
        <v>2101.1999999999998</v>
      </c>
      <c r="E44">
        <v>2617.5300000000002</v>
      </c>
      <c r="F44">
        <f>F8*F45</f>
        <v>3094.6443254999995</v>
      </c>
      <c r="G44">
        <f>G8*G45</f>
        <v>3651.680304089999</v>
      </c>
      <c r="H44">
        <f>H8*H45</f>
        <v>4272.4659557852983</v>
      </c>
      <c r="I44">
        <f t="shared" ref="I44" si="16">I8*I45</f>
        <v>4956.0605087109452</v>
      </c>
    </row>
    <row r="45" spans="1:14" x14ac:dyDescent="0.3">
      <c r="A45" t="s">
        <v>65</v>
      </c>
      <c r="C45" s="4">
        <f>C44/C$8</f>
        <v>4.184374869272648E-2</v>
      </c>
      <c r="D45" s="4">
        <f t="shared" ref="D45" si="17">D44/D$8</f>
        <v>4.2420247532198266E-2</v>
      </c>
      <c r="E45" s="4">
        <f t="shared" ref="E45" si="18">E44/E$8</f>
        <v>4.5293971376614672E-2</v>
      </c>
      <c r="F45" s="4">
        <f>CHOOSE($C$3,F46,F47,F48)</f>
        <v>4.4999999999999998E-2</v>
      </c>
      <c r="G45" s="4">
        <f>CHOOSE($C$3,G46,G47,G48)</f>
        <v>4.4999999999999998E-2</v>
      </c>
      <c r="H45" s="4">
        <f>CHOOSE($C$3,H46,H47,H48)</f>
        <v>4.4999999999999998E-2</v>
      </c>
      <c r="I45" s="4">
        <f t="shared" ref="I45" si="19">CHOOSE($C$3,I46,I47,I48)</f>
        <v>4.4999999999999998E-2</v>
      </c>
      <c r="J45" s="4"/>
      <c r="K45" s="4"/>
      <c r="L45" s="4"/>
      <c r="M45" s="4"/>
      <c r="N45" s="4"/>
    </row>
    <row r="46" spans="1:14" x14ac:dyDescent="0.3">
      <c r="A46" t="s">
        <v>26</v>
      </c>
      <c r="C46" s="6"/>
      <c r="D46" s="6"/>
      <c r="E46" s="6"/>
      <c r="F46" s="5">
        <v>4.4999999999999998E-2</v>
      </c>
      <c r="G46" s="5">
        <v>4.4999999999999998E-2</v>
      </c>
      <c r="H46" s="5">
        <v>4.4999999999999998E-2</v>
      </c>
      <c r="I46" s="5">
        <v>4.4999999999999998E-2</v>
      </c>
      <c r="J46" s="5"/>
      <c r="K46" s="5"/>
      <c r="L46" s="5"/>
      <c r="M46" s="5"/>
      <c r="N46" s="5"/>
    </row>
    <row r="47" spans="1:14" x14ac:dyDescent="0.3">
      <c r="A47" t="s">
        <v>27</v>
      </c>
      <c r="C47" s="6"/>
      <c r="D47" s="6"/>
      <c r="E47" s="6"/>
      <c r="F47" s="5">
        <v>4.8000000000000001E-2</v>
      </c>
      <c r="G47" s="5">
        <v>4.8000000000000001E-2</v>
      </c>
      <c r="H47" s="5">
        <v>4.8000000000000001E-2</v>
      </c>
      <c r="I47" s="5">
        <v>4.8000000000000001E-2</v>
      </c>
      <c r="J47" s="5"/>
      <c r="K47" s="5"/>
      <c r="L47" s="5"/>
      <c r="M47" s="5"/>
      <c r="N47" s="5"/>
    </row>
    <row r="48" spans="1:14" x14ac:dyDescent="0.3">
      <c r="A48" t="s">
        <v>28</v>
      </c>
      <c r="C48" s="6"/>
      <c r="D48" s="6"/>
      <c r="E48" s="6"/>
      <c r="F48" s="5">
        <v>5.1999999999999998E-2</v>
      </c>
      <c r="G48" s="5">
        <v>5.1999999999999998E-2</v>
      </c>
      <c r="H48" s="5">
        <v>5.1999999999999998E-2</v>
      </c>
      <c r="I48" s="5">
        <v>5.1999999999999998E-2</v>
      </c>
      <c r="J48" s="5"/>
      <c r="K48" s="5"/>
      <c r="L48" s="5"/>
      <c r="M48" s="5"/>
      <c r="N48" s="5"/>
    </row>
    <row r="49" spans="1:15" x14ac:dyDescent="0.3">
      <c r="G49" s="5"/>
    </row>
    <row r="50" spans="1:15" x14ac:dyDescent="0.3">
      <c r="A50" s="13" t="s">
        <v>45</v>
      </c>
      <c r="C50">
        <v>3231.16</v>
      </c>
      <c r="D50">
        <v>3611.38</v>
      </c>
      <c r="E50">
        <v>3883.17</v>
      </c>
      <c r="F50">
        <f>(F8+F14)-(F20+F26+F32+F38+F44)</f>
        <v>4864.1253999800101</v>
      </c>
      <c r="G50">
        <f t="shared" ref="G50:I50" si="20">G8+G14-G20-G26-G32-G38-G44</f>
        <v>5708.3443719764018</v>
      </c>
      <c r="H50">
        <f t="shared" si="20"/>
        <v>6649.1795152123877</v>
      </c>
      <c r="I50">
        <f t="shared" si="20"/>
        <v>7685.205037646374</v>
      </c>
    </row>
    <row r="51" spans="1:15" x14ac:dyDescent="0.3">
      <c r="C51" s="4">
        <f>C50/C$8</f>
        <v>7.7239038324777534E-2</v>
      </c>
      <c r="D51" s="4">
        <f t="shared" ref="D51:I51" si="21">D50/D$8</f>
        <v>7.290863960252722E-2</v>
      </c>
      <c r="E51" s="4">
        <f t="shared" si="21"/>
        <v>6.7194718238388393E-2</v>
      </c>
      <c r="F51" s="4">
        <f t="shared" si="21"/>
        <v>7.0730468505047106E-2</v>
      </c>
      <c r="G51" s="4">
        <f t="shared" si="21"/>
        <v>7.0344464834785583E-2</v>
      </c>
      <c r="H51" s="4">
        <f t="shared" si="21"/>
        <v>7.0032875927167157E-2</v>
      </c>
      <c r="I51" s="4">
        <f t="shared" si="21"/>
        <v>6.978006545445449E-2</v>
      </c>
    </row>
    <row r="52" spans="1:15" x14ac:dyDescent="0.3">
      <c r="C52" s="4"/>
      <c r="F52" s="4"/>
      <c r="G52" s="5"/>
      <c r="H52" s="5"/>
      <c r="I52" s="5"/>
    </row>
    <row r="53" spans="1:15" x14ac:dyDescent="0.3">
      <c r="C53" s="4"/>
      <c r="F53" s="4"/>
      <c r="G53" s="5"/>
      <c r="H53" s="5"/>
      <c r="I53" s="5"/>
    </row>
    <row r="54" spans="1:15" x14ac:dyDescent="0.3">
      <c r="C54" s="4"/>
      <c r="D54" s="4"/>
      <c r="E54" s="4"/>
      <c r="F54" s="4"/>
      <c r="G54" s="5"/>
      <c r="H54" s="5"/>
      <c r="I54" s="5"/>
      <c r="J54" s="5"/>
      <c r="K54" s="5"/>
      <c r="L54" s="5"/>
      <c r="M54" s="5"/>
      <c r="N54" s="5"/>
      <c r="O54" s="5"/>
    </row>
    <row r="55" spans="1:15" x14ac:dyDescent="0.3">
      <c r="A55" t="s">
        <v>62</v>
      </c>
      <c r="C55">
        <v>674.76</v>
      </c>
      <c r="D55">
        <v>916.46</v>
      </c>
      <c r="E55">
        <v>955.99</v>
      </c>
      <c r="F55">
        <f>F50*F56</f>
        <v>1216.0313499950025</v>
      </c>
      <c r="G55">
        <f t="shared" ref="G55:I55" si="22">G50*G56</f>
        <v>1427.0860929941005</v>
      </c>
      <c r="H55">
        <f t="shared" si="22"/>
        <v>1662.2948788030969</v>
      </c>
      <c r="I55">
        <f t="shared" si="22"/>
        <v>1921.3012594115935</v>
      </c>
    </row>
    <row r="56" spans="1:15" x14ac:dyDescent="0.3">
      <c r="A56" t="s">
        <v>61</v>
      </c>
      <c r="F56" s="5">
        <v>0.25</v>
      </c>
      <c r="G56" s="5">
        <v>0.25</v>
      </c>
      <c r="H56" s="5">
        <v>0.25</v>
      </c>
      <c r="I56" s="5">
        <v>0.25</v>
      </c>
    </row>
    <row r="58" spans="1:15" x14ac:dyDescent="0.3">
      <c r="A58" s="13" t="s">
        <v>49</v>
      </c>
      <c r="C58">
        <v>2556.4</v>
      </c>
      <c r="D58">
        <v>2694.92</v>
      </c>
      <c r="E58">
        <v>2927.18</v>
      </c>
      <c r="F58">
        <f>F50-F55</f>
        <v>3648.0940499850076</v>
      </c>
      <c r="G58">
        <f t="shared" ref="G58:I58" si="23">G50-G55</f>
        <v>4281.2582789823009</v>
      </c>
      <c r="H58">
        <f t="shared" si="23"/>
        <v>4986.8846364092906</v>
      </c>
      <c r="I58">
        <f t="shared" si="23"/>
        <v>5763.9037782347805</v>
      </c>
    </row>
  </sheetData>
  <conditionalFormatting sqref="A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F62C-8770-4DD0-89D5-D65291F41B7F}">
  <dimension ref="A1:F8"/>
  <sheetViews>
    <sheetView workbookViewId="0">
      <selection sqref="A1:F8"/>
    </sheetView>
  </sheetViews>
  <sheetFormatPr defaultRowHeight="14.4" x14ac:dyDescent="0.3"/>
  <cols>
    <col min="1" max="1" width="17.44140625" customWidth="1"/>
    <col min="2" max="2" width="13.6640625" customWidth="1"/>
    <col min="3" max="3" width="19.77734375" customWidth="1"/>
    <col min="4" max="4" width="14.21875" customWidth="1"/>
    <col min="5" max="5" width="18" customWidth="1"/>
    <col min="6" max="6" width="15.6640625" customWidth="1"/>
  </cols>
  <sheetData>
    <row r="1" spans="1:6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3">
      <c r="A2" t="s">
        <v>41</v>
      </c>
      <c r="B2">
        <f>'P&amp;L Assumptions'!C20</f>
        <v>35775.22</v>
      </c>
      <c r="C2">
        <f>'P&amp;L Assumptions'!C26</f>
        <v>648.17999999999995</v>
      </c>
      <c r="D2">
        <f>'P&amp;L Assumptions'!C32</f>
        <v>48.07</v>
      </c>
      <c r="E2">
        <f>'P&amp;L Assumptions'!C38</f>
        <v>543.25</v>
      </c>
      <c r="F2">
        <f>'P&amp;L Assumptions'!C44</f>
        <v>1750.46</v>
      </c>
    </row>
    <row r="3" spans="1:6" x14ac:dyDescent="0.3">
      <c r="A3" t="s">
        <v>43</v>
      </c>
      <c r="B3">
        <f>'P&amp;L Assumptions'!D20</f>
        <v>42546.65</v>
      </c>
      <c r="C3">
        <f>'P&amp;L Assumptions'!D26</f>
        <v>785.71</v>
      </c>
      <c r="D3">
        <f>'P&amp;L Assumptions'!D32</f>
        <v>44.27</v>
      </c>
      <c r="E3">
        <f>'P&amp;L Assumptions'!D38</f>
        <v>632.79</v>
      </c>
      <c r="F3">
        <f>'P&amp;L Assumptions'!D44</f>
        <v>2101.1999999999998</v>
      </c>
    </row>
    <row r="4" spans="1:6" x14ac:dyDescent="0.3">
      <c r="A4" t="s">
        <v>42</v>
      </c>
      <c r="B4">
        <f>'P&amp;L Assumptions'!E20</f>
        <v>49616.3</v>
      </c>
      <c r="C4">
        <f>'P&amp;L Assumptions'!E26</f>
        <v>1013.26</v>
      </c>
      <c r="D4">
        <f>'P&amp;L Assumptions'!E32</f>
        <v>57.75</v>
      </c>
      <c r="E4">
        <f>'P&amp;L Assumptions'!E38</f>
        <v>775.82</v>
      </c>
      <c r="F4">
        <f>'P&amp;L Assumptions'!E44</f>
        <v>2617.5300000000002</v>
      </c>
    </row>
    <row r="5" spans="1:6" x14ac:dyDescent="0.3">
      <c r="A5" t="s">
        <v>56</v>
      </c>
      <c r="B5">
        <f>'P&amp;L Assumptions'!F20</f>
        <v>58798.242184499992</v>
      </c>
      <c r="C5">
        <f>'P&amp;L Assumptions'!F26</f>
        <v>1237.8577301999997</v>
      </c>
      <c r="D5">
        <f>'P&amp;L Assumptions'!F32</f>
        <v>55.015899119999993</v>
      </c>
      <c r="E5">
        <f>'P&amp;L Assumptions'!F38</f>
        <v>894.0083606999998</v>
      </c>
      <c r="F5">
        <f>'P&amp;L Assumptions'!F44</f>
        <v>3094.6443254999995</v>
      </c>
    </row>
    <row r="6" spans="1:6" x14ac:dyDescent="0.3">
      <c r="A6" t="s">
        <v>57</v>
      </c>
      <c r="B6">
        <f>'P&amp;L Assumptions'!G20</f>
        <v>69381.925777709985</v>
      </c>
      <c r="C6">
        <f>'P&amp;L Assumptions'!G26</f>
        <v>1460.6721216359995</v>
      </c>
      <c r="D6">
        <f>'P&amp;L Assumptions'!G32</f>
        <v>64.918760961599986</v>
      </c>
      <c r="E6">
        <f>'P&amp;L Assumptions'!G38</f>
        <v>1054.9298656259998</v>
      </c>
      <c r="F6">
        <f>'P&amp;L Assumptions'!G44</f>
        <v>3651.680304089999</v>
      </c>
    </row>
    <row r="7" spans="1:6" x14ac:dyDescent="0.3">
      <c r="A7" t="s">
        <v>58</v>
      </c>
      <c r="B7">
        <f>'P&amp;L Assumptions'!H20</f>
        <v>81176.853159920676</v>
      </c>
      <c r="C7">
        <f>'P&amp;L Assumptions'!H26</f>
        <v>1708.9863823141193</v>
      </c>
      <c r="D7">
        <f>'P&amp;L Assumptions'!H32</f>
        <v>75.954950325071977</v>
      </c>
      <c r="E7">
        <f>'P&amp;L Assumptions'!H38</f>
        <v>1234.2679427824196</v>
      </c>
      <c r="F7">
        <f>'P&amp;L Assumptions'!H44</f>
        <v>4272.4659557852983</v>
      </c>
    </row>
    <row r="8" spans="1:6" x14ac:dyDescent="0.3">
      <c r="A8" t="s">
        <v>59</v>
      </c>
      <c r="B8">
        <f>'P&amp;L Assumptions'!I20</f>
        <v>94165.149665507968</v>
      </c>
      <c r="C8">
        <f>'P&amp;L Assumptions'!I26</f>
        <v>1982.4242034843783</v>
      </c>
      <c r="D8">
        <f>'P&amp;L Assumptions'!I32</f>
        <v>88.107742377083483</v>
      </c>
      <c r="E8">
        <f>'P&amp;L Assumptions'!I38</f>
        <v>1431.7508136276065</v>
      </c>
      <c r="F8">
        <f>'P&amp;L Assumptions'!I44</f>
        <v>4956.0605087109452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Income Statement</vt:lpstr>
      <vt:lpstr>P&amp;L Assumptions</vt:lpstr>
      <vt:lpstr>Expense Table</vt:lpstr>
      <vt:lpstr> Revenue Chart</vt:lpstr>
      <vt:lpstr>PBT Chart</vt:lpstr>
      <vt:lpstr>Revenue vs PAT</vt:lpstr>
      <vt:lpstr>Expense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PONNI</cp:lastModifiedBy>
  <dcterms:created xsi:type="dcterms:W3CDTF">2026-01-21T13:40:28Z</dcterms:created>
  <dcterms:modified xsi:type="dcterms:W3CDTF">2026-07-16T13:43:50Z</dcterms:modified>
</cp:coreProperties>
</file>